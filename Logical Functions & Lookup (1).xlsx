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D41F55A3-03E2-41BC-8D8F-12A442A9BCC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" l="1"/>
  <c r="F11" i="2"/>
  <c r="I57" i="2"/>
  <c r="H39" i="2"/>
  <c r="I25" i="2"/>
  <c r="I26" i="2"/>
  <c r="I27" i="2"/>
  <c r="H31" i="1" a="1"/>
  <c r="H31" i="1"/>
  <c r="H32" i="1" a="1"/>
  <c r="H32" i="1"/>
  <c r="H33" i="1" a="1"/>
  <c r="H33" i="1"/>
  <c r="H34" i="1" a="1"/>
  <c r="H34" i="1"/>
  <c r="H35" i="1" a="1"/>
  <c r="H35" i="1"/>
  <c r="I21" i="1"/>
  <c r="I22" i="1"/>
  <c r="I23" i="1"/>
  <c r="I20" i="1"/>
  <c r="H6" i="1"/>
  <c r="H7" i="1"/>
  <c r="H8" i="1"/>
  <c r="H9" i="1"/>
  <c r="H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<sst xmlns="http://schemas.openxmlformats.org/spreadsheetml/2006/main" count="69" uniqueCount="54">
  <si>
    <t>STUDENT NAME</t>
  </si>
  <si>
    <t>MARKS</t>
  </si>
  <si>
    <t>RESULT</t>
  </si>
  <si>
    <t>RIYA</t>
  </si>
  <si>
    <t>SIYA</t>
  </si>
  <si>
    <t>RAJU</t>
  </si>
  <si>
    <t>RAHUL</t>
  </si>
  <si>
    <t>RAM</t>
  </si>
  <si>
    <t>Employee</t>
  </si>
  <si>
    <t>Sales</t>
  </si>
  <si>
    <t>Attendance</t>
  </si>
  <si>
    <t>REWARD</t>
  </si>
  <si>
    <t xml:space="preserve">Arjun </t>
  </si>
  <si>
    <t xml:space="preserve">Anjali  </t>
  </si>
  <si>
    <t xml:space="preserve">Simran  </t>
  </si>
  <si>
    <t xml:space="preserve">Rohit  </t>
  </si>
  <si>
    <t xml:space="preserve">Student Name </t>
  </si>
  <si>
    <t>Marks</t>
  </si>
  <si>
    <t>Raj</t>
  </si>
  <si>
    <t>Rani</t>
  </si>
  <si>
    <t>Neha</t>
  </si>
  <si>
    <t>Sneha</t>
  </si>
  <si>
    <t>Vivek</t>
  </si>
  <si>
    <t>EmpID</t>
  </si>
  <si>
    <t>Name</t>
  </si>
  <si>
    <t>Department</t>
  </si>
  <si>
    <t>E103</t>
  </si>
  <si>
    <t>E101</t>
  </si>
  <si>
    <t>Raju</t>
  </si>
  <si>
    <t>IT</t>
  </si>
  <si>
    <t>E102</t>
  </si>
  <si>
    <t>Riya</t>
  </si>
  <si>
    <t>HR</t>
  </si>
  <si>
    <t>Roshni</t>
  </si>
  <si>
    <t>Finance</t>
  </si>
  <si>
    <t>E104</t>
  </si>
  <si>
    <t>Sejal</t>
  </si>
  <si>
    <t>Sales Amount</t>
  </si>
  <si>
    <t>Commission Rate</t>
  </si>
  <si>
    <t>lookup value</t>
  </si>
  <si>
    <t xml:space="preserve">Employee Name </t>
  </si>
  <si>
    <t>Leaves Taken</t>
  </si>
  <si>
    <t>Leaves Allowed</t>
  </si>
  <si>
    <t>Leave Records</t>
  </si>
  <si>
    <t>Alex</t>
  </si>
  <si>
    <t>Bob</t>
  </si>
  <si>
    <t>Anna</t>
  </si>
  <si>
    <t>Salary</t>
  </si>
  <si>
    <t>E105</t>
  </si>
  <si>
    <t>E106</t>
  </si>
  <si>
    <t>DEPARTMENT</t>
  </si>
  <si>
    <t>LOOKUP VALUE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</si>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</sst>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b/>
      <sz val="11"/>
      <color rgb="FF000000"/>
      <name val="Aptos Narrow"/>
      <charset val="1"/>
    </font>
    <font>
      <b/>
      <sz val="11"/>
      <color rgb="FF242424"/>
      <name val="Aptos Narrow"/>
      <charset val="1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0</xdr:rowOff>
    </xdr:from>
    <xdr:to>
      <xdr:col>20</xdr:col>
      <xdr:colOff>104775</xdr:colOff>
      <xdr:row>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6F75EB-D8E7-7FEF-A9D9-278EE61DC0ED}"/>
            </a:ext>
          </a:extLst>
        </xdr:cNvPr>
        <xdr:cNvSpPr txBox="1"/>
      </xdr:nvSpPr>
      <xdr:spPr>
        <a:xfrm>
          <a:off x="3028950" y="0"/>
          <a:ext cx="9267825" cy="4000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1.Write a formula to check if the marks in cell are greater than or equal to 40. If yes, return "Pass", otherwise  "Fail".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6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4</xdr:col>
      <xdr:colOff>600075</xdr:colOff>
      <xdr:row>2</xdr:row>
      <xdr:rowOff>9525</xdr:rowOff>
    </xdr:from>
    <xdr:to>
      <xdr:col>9</xdr:col>
      <xdr:colOff>257175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F215E9-289B-9ACE-F1D2-B9A46DC16F6D}"/>
            </a:ext>
            <a:ext uri="{147F2762-F138-4A5C-976F-8EAC2B608ADB}">
              <a16:predDERef xmlns:a16="http://schemas.microsoft.com/office/drawing/2014/main" pred="{4C6F75EB-D8E7-7FEF-A9D9-278EE61DC0ED}"/>
            </a:ext>
          </a:extLst>
        </xdr:cNvPr>
        <xdr:cNvSpPr txBox="1"/>
      </xdr:nvSpPr>
      <xdr:spPr>
        <a:xfrm>
          <a:off x="3038475" y="390525"/>
          <a:ext cx="4972050" cy="323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3">
              <a:lumMod val="40000"/>
              <a:lumOff val="6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ANS. =IF(G6&gt;=40,"PASS","FAIL") - PASS OR FAIL</a:t>
          </a:r>
        </a:p>
      </xdr:txBody>
    </xdr:sp>
    <xdr:clientData/>
  </xdr:twoCellAnchor>
  <xdr:twoCellAnchor>
    <xdr:from>
      <xdr:col>5</xdr:col>
      <xdr:colOff>0</xdr:colOff>
      <xdr:row>11</xdr:row>
      <xdr:rowOff>171450</xdr:rowOff>
    </xdr:from>
    <xdr:to>
      <xdr:col>14</xdr:col>
      <xdr:colOff>142875</xdr:colOff>
      <xdr:row>14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13B667-73DA-86F2-1FE5-505C1E299039}"/>
            </a:ext>
            <a:ext uri="{147F2762-F138-4A5C-976F-8EAC2B608ADB}">
              <a16:predDERef xmlns:a16="http://schemas.microsoft.com/office/drawing/2014/main" pred="{85F215E9-289B-9ACE-F1D2-B9A46DC16F6D}"/>
            </a:ext>
          </a:extLst>
        </xdr:cNvPr>
        <xdr:cNvSpPr txBox="1"/>
      </xdr:nvSpPr>
      <xdr:spPr>
        <a:xfrm>
          <a:off x="3048000" y="2266950"/>
          <a:ext cx="8067675" cy="4476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2. </a:t>
          </a:r>
          <a:r>
            <a:rPr lang="en-US" sz="1200">
              <a:latin typeface="+mn-lt"/>
              <a:ea typeface="+mn-lt"/>
              <a:cs typeface="+mn-lt"/>
            </a:rPr>
            <a:t>A company gives a bonus  if sales are above 40,000 and attendance is greater than or equal to 90%. Write a</a:t>
          </a:r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formula to calculate whether the employee will get a bonus or not</a:t>
          </a:r>
          <a:endParaRPr lang="en-US" sz="12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0</xdr:colOff>
      <xdr:row>14</xdr:row>
      <xdr:rowOff>47625</xdr:rowOff>
    </xdr:from>
    <xdr:to>
      <xdr:col>9</xdr:col>
      <xdr:colOff>466725</xdr:colOff>
      <xdr:row>16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8A62EA1-80E0-818D-0EC3-4F20B6BAE895}"/>
            </a:ext>
            <a:ext uri="{147F2762-F138-4A5C-976F-8EAC2B608ADB}">
              <a16:predDERef xmlns:a16="http://schemas.microsoft.com/office/drawing/2014/main" pred="{C413B667-73DA-86F2-1FE5-505C1E299039}"/>
            </a:ext>
          </a:extLst>
        </xdr:cNvPr>
        <xdr:cNvSpPr txBox="1"/>
      </xdr:nvSpPr>
      <xdr:spPr>
        <a:xfrm>
          <a:off x="3048000" y="2714625"/>
          <a:ext cx="5343525" cy="381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ANS. =IF(AND(G21&gt;40000,H21&gt;90),"BONUS","NO BONUS") - BONUS OR NO BONUS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0</xdr:colOff>
      <xdr:row>23</xdr:row>
      <xdr:rowOff>152400</xdr:rowOff>
    </xdr:from>
    <xdr:to>
      <xdr:col>14</xdr:col>
      <xdr:colOff>276225</xdr:colOff>
      <xdr:row>25</xdr:row>
      <xdr:rowOff>180975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7E461DC-7C13-5378-8057-1EC05BD1741D}"/>
            </a:ext>
            <a:ext uri="{147F2762-F138-4A5C-976F-8EAC2B608ADB}">
              <a16:predDERef xmlns:a16="http://schemas.microsoft.com/office/drawing/2014/main" pred="{E8A62EA1-80E0-818D-0EC3-4F20B6BAE895}"/>
            </a:ext>
          </a:extLst>
        </xdr:cNvPr>
        <xdr:cNvSpPr txBox="1"/>
      </xdr:nvSpPr>
      <xdr:spPr>
        <a:xfrm>
          <a:off x="3048000" y="4533900"/>
          <a:ext cx="8201025" cy="40957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3.Write a nested IF formula: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 If marks in B2 are ≥ 90 → , "A", ≥ 75 → "B", ≥ 50 →  "C" , otherwise "FAIL".</a:t>
          </a:r>
        </a:p>
      </xdr:txBody>
    </xdr:sp>
    <xdr:clientData/>
  </xdr:twoCellAnchor>
  <xdr:twoCellAnchor>
    <xdr:from>
      <xdr:col>5</xdr:col>
      <xdr:colOff>9525</xdr:colOff>
      <xdr:row>26</xdr:row>
      <xdr:rowOff>0</xdr:rowOff>
    </xdr:from>
    <xdr:to>
      <xdr:col>10</xdr:col>
      <xdr:colOff>466725</xdr:colOff>
      <xdr:row>27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8273DA-DAB7-BD29-2840-6C76BD9AA77F}"/>
            </a:ext>
            <a:ext uri="{147F2762-F138-4A5C-976F-8EAC2B608ADB}">
              <a16:predDERef xmlns:a16="http://schemas.microsoft.com/office/drawing/2014/main" pred="{07E461DC-7C13-5378-8057-1EC05BD1741D}"/>
            </a:ext>
          </a:extLst>
        </xdr:cNvPr>
        <xdr:cNvSpPr txBox="1"/>
      </xdr:nvSpPr>
      <xdr:spPr>
        <a:xfrm>
          <a:off x="3057525" y="4953000"/>
          <a:ext cx="6143625" cy="3619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ANS. =IFS(G31&gt;=90,"A",G31&gt;=75,"B",G31&gt;=50,"C",G31&lt;50,"FAIL") </a:t>
          </a:r>
        </a:p>
      </xdr:txBody>
    </xdr:sp>
    <xdr:clientData/>
  </xdr:twoCellAnchor>
  <xdr:twoCellAnchor>
    <xdr:from>
      <xdr:col>5</xdr:col>
      <xdr:colOff>19050</xdr:colOff>
      <xdr:row>36</xdr:row>
      <xdr:rowOff>0</xdr:rowOff>
    </xdr:from>
    <xdr:to>
      <xdr:col>14</xdr:col>
      <xdr:colOff>295275</xdr:colOff>
      <xdr:row>38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BEF637C-5752-497C-B1DB-87E334182152}"/>
            </a:ext>
            <a:ext uri="{147F2762-F138-4A5C-976F-8EAC2B608ADB}">
              <a16:predDERef xmlns:a16="http://schemas.microsoft.com/office/drawing/2014/main" pred="{B48273DA-DAB7-BD29-2840-6C76BD9AA77F}"/>
            </a:ext>
          </a:extLst>
        </xdr:cNvPr>
        <xdr:cNvSpPr txBox="1"/>
      </xdr:nvSpPr>
      <xdr:spPr>
        <a:xfrm>
          <a:off x="3067050" y="6858000"/>
          <a:ext cx="8401050" cy="40957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4. Find the Department of Employee ID = E103. Also explain which LOOKUP function is used and why?</a:t>
          </a:r>
        </a:p>
      </xdr:txBody>
    </xdr:sp>
    <xdr:clientData/>
  </xdr:twoCellAnchor>
  <xdr:twoCellAnchor>
    <xdr:from>
      <xdr:col>5</xdr:col>
      <xdr:colOff>28575</xdr:colOff>
      <xdr:row>38</xdr:row>
      <xdr:rowOff>38100</xdr:rowOff>
    </xdr:from>
    <xdr:to>
      <xdr:col>10</xdr:col>
      <xdr:colOff>485775</xdr:colOff>
      <xdr:row>40</xdr:row>
      <xdr:rowOff>95250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4739131-D1BE-4A3D-8AC2-9DC81C642C67}"/>
            </a:ext>
            <a:ext uri="{147F2762-F138-4A5C-976F-8EAC2B608ADB}">
              <a16:predDERef xmlns:a16="http://schemas.microsoft.com/office/drawing/2014/main" pred="{5BEF637C-5752-497C-B1DB-87E334182152}"/>
            </a:ext>
          </a:extLst>
        </xdr:cNvPr>
        <xdr:cNvSpPr txBox="1"/>
      </xdr:nvSpPr>
      <xdr:spPr>
        <a:xfrm>
          <a:off x="3076575" y="7277100"/>
          <a:ext cx="6486525" cy="4381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ANS. =VLOOKUP(I43,$F$44:$H$47,3,FALSE)  IS USED AS FORMULA AND IT IS USED BECAUSE HERE WE SIMPLY WANT TO SEE DEPATMENT FROM ONE DATA SET NOT FROM ANOTHER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390525</xdr:colOff>
      <xdr:row>3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B69A7A-CAC5-4B45-86B6-1004F3ACBD09}"/>
            </a:ext>
          </a:extLst>
        </xdr:cNvPr>
        <xdr:cNvSpPr txBox="1"/>
      </xdr:nvSpPr>
      <xdr:spPr>
        <a:xfrm>
          <a:off x="3048000" y="0"/>
          <a:ext cx="7600950" cy="7524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5.  A Company has set the following commission structure for its sales team.</a:t>
          </a: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If a salesperson achieves sales of ₹45,000, use the VLOOKUP function to determine the commission rate</a:t>
          </a: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applicable.</a:t>
          </a:r>
        </a:p>
        <a:p>
          <a:pPr marL="0" indent="0" algn="l"/>
          <a:endParaRPr lang="en-US" sz="16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0</xdr:colOff>
      <xdr:row>4</xdr:row>
      <xdr:rowOff>0</xdr:rowOff>
    </xdr:from>
    <xdr:to>
      <xdr:col>11</xdr:col>
      <xdr:colOff>304800</xdr:colOff>
      <xdr:row>6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1832F99-E61C-48C5-91B3-444CD484B8C0}"/>
            </a:ext>
            <a:ext uri="{147F2762-F138-4A5C-976F-8EAC2B608ADB}">
              <a16:predDERef xmlns:a16="http://schemas.microsoft.com/office/drawing/2014/main" pred="{A2B69A7A-CAC5-4B45-86B6-1004F3ACBD09}"/>
            </a:ext>
          </a:extLst>
        </xdr:cNvPr>
        <xdr:cNvSpPr txBox="1"/>
      </xdr:nvSpPr>
      <xdr:spPr>
        <a:xfrm>
          <a:off x="3048000" y="762000"/>
          <a:ext cx="7067550" cy="3905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3">
              <a:lumMod val="40000"/>
              <a:lumOff val="6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ANS.  =VLOOKUP(F10,$A$9:$B$12,2,TRUE)</a:t>
          </a:r>
        </a:p>
      </xdr:txBody>
    </xdr:sp>
    <xdr:clientData/>
  </xdr:twoCellAnchor>
  <xdr:twoCellAnchor>
    <xdr:from>
      <xdr:col>5</xdr:col>
      <xdr:colOff>0</xdr:colOff>
      <xdr:row>14</xdr:row>
      <xdr:rowOff>180975</xdr:rowOff>
    </xdr:from>
    <xdr:to>
      <xdr:col>11</xdr:col>
      <xdr:colOff>371475</xdr:colOff>
      <xdr:row>19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8E00557-3919-4D81-A40C-1686E54604B3}"/>
            </a:ext>
            <a:ext uri="{147F2762-F138-4A5C-976F-8EAC2B608ADB}">
              <a16:predDERef xmlns:a16="http://schemas.microsoft.com/office/drawing/2014/main" pred="{11832F99-E61C-48C5-91B3-444CD484B8C0}"/>
            </a:ext>
          </a:extLst>
        </xdr:cNvPr>
        <xdr:cNvSpPr txBox="1"/>
      </xdr:nvSpPr>
      <xdr:spPr>
        <a:xfrm>
          <a:off x="3048000" y="2847975"/>
          <a:ext cx="7134225" cy="8191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3">
              <a:lumMod val="40000"/>
              <a:lumOff val="6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6. The HR department maintains the following leave records of employees:onus or not 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Write an IF function to check whether an employee has Exceeded their allowed leave balance.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-&gt; If Leaves Taken &gt; Allowed Leaves, display "Exceeded".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 -&gt; Otherwise, display "OK".</a:t>
          </a:r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0</xdr:colOff>
      <xdr:row>19</xdr:row>
      <xdr:rowOff>47625</xdr:rowOff>
    </xdr:from>
    <xdr:to>
      <xdr:col>11</xdr:col>
      <xdr:colOff>304800</xdr:colOff>
      <xdr:row>21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229DC1-C773-4167-81E7-189AC9EEE164}"/>
            </a:ext>
            <a:ext uri="{147F2762-F138-4A5C-976F-8EAC2B608ADB}">
              <a16:predDERef xmlns:a16="http://schemas.microsoft.com/office/drawing/2014/main" pred="{A8E00557-3919-4D81-A40C-1686E54604B3}"/>
            </a:ext>
          </a:extLst>
        </xdr:cNvPr>
        <xdr:cNvSpPr txBox="1"/>
      </xdr:nvSpPr>
      <xdr:spPr>
        <a:xfrm>
          <a:off x="3048000" y="3667125"/>
          <a:ext cx="7067550" cy="3905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3">
              <a:lumMod val="40000"/>
              <a:lumOff val="6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ANS.  =IF(G25&gt;H25,"Exceeded","OK") -  EXCEEDED OR OK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0</xdr:colOff>
      <xdr:row>31</xdr:row>
      <xdr:rowOff>0</xdr:rowOff>
    </xdr:from>
    <xdr:to>
      <xdr:col>9</xdr:col>
      <xdr:colOff>457200</xdr:colOff>
      <xdr:row>33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1BEFA62-E0B1-434F-BA19-165A6CEA6DE4}"/>
            </a:ext>
            <a:ext uri="{147F2762-F138-4A5C-976F-8EAC2B608ADB}">
              <a16:predDERef xmlns:a16="http://schemas.microsoft.com/office/drawing/2014/main" pred="{35229DC1-C773-4167-81E7-189AC9EEE164}"/>
            </a:ext>
          </a:extLst>
        </xdr:cNvPr>
        <xdr:cNvSpPr txBox="1"/>
      </xdr:nvSpPr>
      <xdr:spPr>
        <a:xfrm>
          <a:off x="3048000" y="5905500"/>
          <a:ext cx="4991100" cy="390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3">
              <a:lumMod val="40000"/>
              <a:lumOff val="6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7. Find the salary of EmpID = E105 using INDEX-MATCH Function.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9525</xdr:colOff>
      <xdr:row>33</xdr:row>
      <xdr:rowOff>19050</xdr:rowOff>
    </xdr:from>
    <xdr:to>
      <xdr:col>10</xdr:col>
      <xdr:colOff>9525</xdr:colOff>
      <xdr:row>35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570D088-F6CD-4AD3-BEF0-7FB56BFEABE2}"/>
            </a:ext>
            <a:ext uri="{147F2762-F138-4A5C-976F-8EAC2B608ADB}">
              <a16:predDERef xmlns:a16="http://schemas.microsoft.com/office/drawing/2014/main" pred="{91BEFA62-E0B1-434F-BA19-165A6CEA6DE4}"/>
            </a:ext>
          </a:extLst>
        </xdr:cNvPr>
        <xdr:cNvSpPr txBox="1"/>
      </xdr:nvSpPr>
      <xdr:spPr>
        <a:xfrm>
          <a:off x="3057525" y="6305550"/>
          <a:ext cx="6972300" cy="3905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3">
              <a:lumMod val="40000"/>
              <a:lumOff val="6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ANS. =INDEX(G39:G43,MATCH(F42,F39:F43,0))  This is the formula for finding salary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0</xdr:colOff>
      <xdr:row>48</xdr:row>
      <xdr:rowOff>0</xdr:rowOff>
    </xdr:from>
    <xdr:to>
      <xdr:col>9</xdr:col>
      <xdr:colOff>2171700</xdr:colOff>
      <xdr:row>50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24D93F9-55E9-46AC-A685-E2F31AF8B08F}"/>
            </a:ext>
            <a:ext uri="{147F2762-F138-4A5C-976F-8EAC2B608ADB}">
              <a16:predDERef xmlns:a16="http://schemas.microsoft.com/office/drawing/2014/main" pred="{6570D088-F6CD-4AD3-BEF0-7FB56BFEABE2}"/>
            </a:ext>
          </a:extLst>
        </xdr:cNvPr>
        <xdr:cNvSpPr txBox="1"/>
      </xdr:nvSpPr>
      <xdr:spPr>
        <a:xfrm>
          <a:off x="3048000" y="9144000"/>
          <a:ext cx="9077325" cy="3905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accent3">
              <a:lumMod val="40000"/>
              <a:lumOff val="6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8.  Use the XLOOKUP function to find the Department of the employee with Emp ID = E303.</a:t>
          </a:r>
        </a:p>
      </xdr:txBody>
    </xdr:sp>
    <xdr:clientData/>
  </xdr:twoCellAnchor>
  <xdr:twoCellAnchor>
    <xdr:from>
      <xdr:col>5</xdr:col>
      <xdr:colOff>0</xdr:colOff>
      <xdr:row>50</xdr:row>
      <xdr:rowOff>38100</xdr:rowOff>
    </xdr:from>
    <xdr:to>
      <xdr:col>9</xdr:col>
      <xdr:colOff>2171700</xdr:colOff>
      <xdr:row>52</xdr:row>
      <xdr:rowOff>47625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3ACFD7-F67D-4A41-A8EE-75475EF60FE1}"/>
            </a:ext>
            <a:ext uri="{147F2762-F138-4A5C-976F-8EAC2B608ADB}">
              <a16:predDERef xmlns:a16="http://schemas.microsoft.com/office/drawing/2014/main" pred="{A24D93F9-55E9-46AC-A685-E2F31AF8B08F}"/>
            </a:ext>
          </a:extLst>
        </xdr:cNvPr>
        <xdr:cNvSpPr txBox="1"/>
      </xdr:nvSpPr>
      <xdr:spPr>
        <a:xfrm>
          <a:off x="3048000" y="9563100"/>
          <a:ext cx="9077325" cy="390525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accent3">
              <a:lumMod val="40000"/>
              <a:lumOff val="60000"/>
            </a:schemeClr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ANS.  =XLOOKUP(H57,$F$57:$F$60,$G$57:$G$60) - IT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I47"/>
  <sheetViews>
    <sheetView topLeftCell="A31" workbookViewId="0">
      <selection activeCell="I45" sqref="I45"/>
    </sheetView>
  </sheetViews>
  <sheetFormatPr defaultRowHeight="15"/>
  <cols>
    <col min="6" max="6" width="18.7109375" bestFit="1" customWidth="1"/>
    <col min="8" max="8" width="36.5703125" bestFit="1" customWidth="1"/>
    <col min="9" max="9" width="16.85546875" customWidth="1"/>
  </cols>
  <sheetData>
    <row r="5" spans="6:8">
      <c r="F5" s="1" t="s">
        <v>0</v>
      </c>
      <c r="G5" s="1" t="s">
        <v>1</v>
      </c>
      <c r="H5" s="1" t="s">
        <v>2</v>
      </c>
    </row>
    <row r="6" spans="6:8">
      <c r="F6" s="2" t="s">
        <v>3</v>
      </c>
      <c r="G6" s="2">
        <v>45</v>
      </c>
      <c r="H6" s="3" t="str">
        <f>IF(G6&gt;=40,"PASS","FAIL")</f>
        <v>PASS</v>
      </c>
    </row>
    <row r="7" spans="6:8">
      <c r="F7" s="2" t="s">
        <v>4</v>
      </c>
      <c r="G7" s="2">
        <v>72</v>
      </c>
      <c r="H7" s="3" t="str">
        <f t="shared" ref="H7:H10" si="0">IF(G7&gt;=40,"PASS","FAIL")</f>
        <v>PASS</v>
      </c>
    </row>
    <row r="8" spans="6:8">
      <c r="F8" s="2" t="s">
        <v>5</v>
      </c>
      <c r="G8" s="2">
        <v>55</v>
      </c>
      <c r="H8" s="3" t="str">
        <f t="shared" si="0"/>
        <v>PASS</v>
      </c>
    </row>
    <row r="9" spans="6:8">
      <c r="F9" s="2" t="s">
        <v>6</v>
      </c>
      <c r="G9" s="2">
        <v>80</v>
      </c>
      <c r="H9" s="3" t="str">
        <f t="shared" si="0"/>
        <v>PASS</v>
      </c>
    </row>
    <row r="10" spans="6:8">
      <c r="F10" s="2" t="s">
        <v>7</v>
      </c>
      <c r="G10" s="2">
        <v>30</v>
      </c>
      <c r="H10" s="3" t="str">
        <f t="shared" si="0"/>
        <v>FAIL</v>
      </c>
    </row>
    <row r="19" spans="6:9">
      <c r="F19" s="1" t="s">
        <v>8</v>
      </c>
      <c r="G19" s="1" t="s">
        <v>9</v>
      </c>
      <c r="H19" s="1" t="s">
        <v>10</v>
      </c>
      <c r="I19" t="s">
        <v>11</v>
      </c>
    </row>
    <row r="20" spans="6:9">
      <c r="F20" t="s">
        <v>12</v>
      </c>
      <c r="G20" s="4">
        <v>55000</v>
      </c>
      <c r="H20" s="5">
        <v>95</v>
      </c>
      <c r="I20" t="str">
        <f>IF(AND(G20&gt;40000,H20&gt;90),"BONUS","NO BONUS")</f>
        <v>BONUS</v>
      </c>
    </row>
    <row r="21" spans="6:9">
      <c r="F21" t="s">
        <v>13</v>
      </c>
      <c r="G21" s="4">
        <v>25000</v>
      </c>
      <c r="H21" s="5">
        <v>65</v>
      </c>
      <c r="I21" t="str">
        <f>IF(AND(G21&gt;40000,H21&gt;90),"BONUS","NO BONUS")</f>
        <v>NO BONUS</v>
      </c>
    </row>
    <row r="22" spans="6:9">
      <c r="F22" t="s">
        <v>14</v>
      </c>
      <c r="G22" s="4">
        <v>65000</v>
      </c>
      <c r="H22" s="5">
        <v>85</v>
      </c>
      <c r="I22" t="str">
        <f t="shared" ref="I21:I23" si="1">IF(AND(G22&gt;40000,H22&gt;90),"BONUS","NO BONUS")</f>
        <v>NO BONUS</v>
      </c>
    </row>
    <row r="23" spans="6:9">
      <c r="F23" t="s">
        <v>15</v>
      </c>
      <c r="G23" s="4">
        <v>30000</v>
      </c>
      <c r="H23" s="5">
        <v>90</v>
      </c>
      <c r="I23" t="str">
        <f t="shared" si="1"/>
        <v>NO BONUS</v>
      </c>
    </row>
    <row r="30" spans="6:9">
      <c r="F30" s="1" t="s">
        <v>16</v>
      </c>
      <c r="G30" s="6" t="s">
        <v>17</v>
      </c>
      <c r="H30" s="1" t="s">
        <v>2</v>
      </c>
    </row>
    <row r="31" spans="6:9">
      <c r="F31" s="2" t="s">
        <v>18</v>
      </c>
      <c r="G31" s="2">
        <v>85</v>
      </c>
      <c r="H31" s="2" t="str" cm="1">
        <f t="array" ref="H31">_xlfn.IFS(G31&gt;=90,"A",G31&gt;=75,"B",G31&gt;=50,"C",G31&lt;50,"FAIL")</f>
        <v>B</v>
      </c>
    </row>
    <row r="32" spans="6:9">
      <c r="F32" s="2" t="s">
        <v>19</v>
      </c>
      <c r="G32" s="2">
        <v>92</v>
      </c>
      <c r="H32" s="2" t="str" cm="1">
        <f t="array" ref="H32">_xlfn.IFS(G32&gt;=90,"A",G32&gt;=75,"B",G32&gt;=50,"C",G32&lt;50,"FAIL")</f>
        <v>A</v>
      </c>
    </row>
    <row r="33" spans="6:9">
      <c r="F33" s="2" t="s">
        <v>20</v>
      </c>
      <c r="G33" s="2">
        <v>96</v>
      </c>
      <c r="H33" s="2" t="str" cm="1">
        <f t="array" ref="H33">_xlfn.IFS(G33&gt;=90,"A",G33&gt;=75,"B",G33&gt;=50,"C",G33&lt;50,"FAIL")</f>
        <v>A</v>
      </c>
    </row>
    <row r="34" spans="6:9">
      <c r="F34" s="2" t="s">
        <v>21</v>
      </c>
      <c r="G34" s="2">
        <v>75</v>
      </c>
      <c r="H34" s="2" t="str" cm="1">
        <f t="array" ref="H34">_xlfn.IFS(G34&gt;=90,"A",G34&gt;=75,"B",G34&gt;=50,"C",G34&lt;50,"FAIL")</f>
        <v>B</v>
      </c>
    </row>
    <row r="35" spans="6:9">
      <c r="F35" s="2" t="s">
        <v>22</v>
      </c>
      <c r="G35" s="2">
        <v>57</v>
      </c>
      <c r="H35" s="2" t="str" cm="1">
        <f t="array" ref="H35">_xlfn.IFS(G35&gt;=90,"A",G35&gt;=75,"B",G35&gt;=50,"C",G35&lt;50,"FAIL")</f>
        <v>C</v>
      </c>
    </row>
    <row r="36" spans="6:9">
      <c r="F36" s="2"/>
      <c r="G36" s="2"/>
      <c r="H36" s="2"/>
    </row>
    <row r="43" spans="6:9">
      <c r="F43" s="8" t="s">
        <v>23</v>
      </c>
      <c r="G43" s="8" t="s">
        <v>24</v>
      </c>
      <c r="H43" s="8" t="s">
        <v>25</v>
      </c>
      <c r="I43" s="2" t="s">
        <v>26</v>
      </c>
    </row>
    <row r="44" spans="6:9">
      <c r="F44" s="2" t="s">
        <v>27</v>
      </c>
      <c r="G44" s="2" t="s">
        <v>28</v>
      </c>
      <c r="H44" s="2" t="s">
        <v>29</v>
      </c>
    </row>
    <row r="45" spans="6:9">
      <c r="F45" s="2" t="s">
        <v>30</v>
      </c>
      <c r="G45" s="2" t="s">
        <v>31</v>
      </c>
      <c r="H45" s="2" t="s">
        <v>32</v>
      </c>
      <c r="I45" t="str">
        <f>VLOOKUP(I43,$F$44:$H$47,3,FALSE)</f>
        <v>Finance</v>
      </c>
    </row>
    <row r="46" spans="6:9">
      <c r="F46" s="2" t="s">
        <v>26</v>
      </c>
      <c r="G46" s="2" t="s">
        <v>33</v>
      </c>
      <c r="H46" s="2" t="s">
        <v>34</v>
      </c>
    </row>
    <row r="47" spans="6:9">
      <c r="F47" s="2" t="s">
        <v>35</v>
      </c>
      <c r="G47" s="2" t="s">
        <v>36</v>
      </c>
      <c r="H47" s="2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90B8-74AA-47C9-ACEF-83FBDD779CDB}">
  <dimension ref="A8:J60"/>
  <sheetViews>
    <sheetView tabSelected="1" topLeftCell="A51" workbookViewId="0">
      <selection activeCell="F11" sqref="F11"/>
    </sheetView>
  </sheetViews>
  <sheetFormatPr defaultRowHeight="15"/>
  <cols>
    <col min="1" max="1" width="13" bestFit="1" customWidth="1"/>
    <col min="2" max="2" width="16.5703125" bestFit="1" customWidth="1"/>
    <col min="6" max="6" width="36.5703125" bestFit="1" customWidth="1"/>
    <col min="7" max="7" width="16" bestFit="1" customWidth="1"/>
    <col min="8" max="8" width="36.5703125" bestFit="1" customWidth="1"/>
    <col min="9" max="9" width="14.42578125" bestFit="1" customWidth="1"/>
    <col min="10" max="10" width="36.5703125" bestFit="1" customWidth="1"/>
  </cols>
  <sheetData>
    <row r="8" spans="1:10">
      <c r="A8" s="6" t="s">
        <v>37</v>
      </c>
      <c r="B8" s="8" t="s">
        <v>38</v>
      </c>
      <c r="J8" s="9"/>
    </row>
    <row r="9" spans="1:10">
      <c r="A9" s="14">
        <v>0</v>
      </c>
      <c r="B9" s="10">
        <v>0.05</v>
      </c>
      <c r="F9" s="8" t="s">
        <v>39</v>
      </c>
      <c r="I9" s="9"/>
    </row>
    <row r="10" spans="1:10">
      <c r="A10" s="14">
        <v>80000</v>
      </c>
      <c r="B10" s="10">
        <v>0.2</v>
      </c>
      <c r="F10" s="14">
        <v>45000</v>
      </c>
      <c r="I10" s="9"/>
    </row>
    <row r="11" spans="1:10">
      <c r="A11" s="14">
        <v>20000</v>
      </c>
      <c r="B11" s="10">
        <v>0.1</v>
      </c>
      <c r="F11" s="9">
        <f>VLOOKUP(F10,$A$9:$B$12,2,TRUE)</f>
        <v>0.05</v>
      </c>
      <c r="I11" s="9"/>
    </row>
    <row r="12" spans="1:10">
      <c r="A12" s="14">
        <v>50000</v>
      </c>
      <c r="B12" s="10">
        <v>0.15</v>
      </c>
    </row>
    <row r="13" spans="1:10">
      <c r="H13" s="9"/>
      <c r="I13" s="9"/>
    </row>
    <row r="14" spans="1:10">
      <c r="I14" s="9"/>
    </row>
    <row r="24" spans="6:9">
      <c r="F24" s="8" t="s">
        <v>40</v>
      </c>
      <c r="G24" s="11" t="s">
        <v>41</v>
      </c>
      <c r="H24" s="11" t="s">
        <v>42</v>
      </c>
      <c r="I24" s="12" t="s">
        <v>43</v>
      </c>
    </row>
    <row r="25" spans="6:9">
      <c r="F25" s="2" t="s">
        <v>44</v>
      </c>
      <c r="G25" s="2">
        <v>10</v>
      </c>
      <c r="H25" s="2">
        <v>12</v>
      </c>
      <c r="I25" t="str">
        <f>IF(G25&gt;H25,"Exceeded","OK")</f>
        <v>OK</v>
      </c>
    </row>
    <row r="26" spans="6:9">
      <c r="F26" s="2" t="s">
        <v>45</v>
      </c>
      <c r="G26" s="2">
        <v>10</v>
      </c>
      <c r="H26" s="2">
        <v>15</v>
      </c>
      <c r="I26" t="str">
        <f t="shared" ref="I26:I27" si="0">IF(G26&gt;H26,"Exceeded","OK")</f>
        <v>OK</v>
      </c>
    </row>
    <row r="27" spans="6:9">
      <c r="F27" s="2" t="s">
        <v>46</v>
      </c>
      <c r="G27" s="2">
        <v>8</v>
      </c>
      <c r="H27" s="2">
        <v>12</v>
      </c>
      <c r="I27" t="str">
        <f t="shared" si="0"/>
        <v>OK</v>
      </c>
    </row>
    <row r="36" spans="6:10">
      <c r="J36" s="7"/>
    </row>
    <row r="39" spans="6:10">
      <c r="F39" s="8" t="s">
        <v>23</v>
      </c>
      <c r="G39" s="8" t="s">
        <v>47</v>
      </c>
      <c r="H39" s="7">
        <f>INDEX(G39:G43,MATCH(F42,F39:F43,0))</f>
        <v>72000</v>
      </c>
    </row>
    <row r="40" spans="6:10">
      <c r="F40" s="2" t="s">
        <v>35</v>
      </c>
      <c r="G40" s="2">
        <v>55000</v>
      </c>
    </row>
    <row r="41" spans="6:10">
      <c r="F41" s="2" t="s">
        <v>30</v>
      </c>
      <c r="G41" s="2">
        <v>41000</v>
      </c>
    </row>
    <row r="42" spans="6:10">
      <c r="F42" s="2" t="s">
        <v>48</v>
      </c>
      <c r="G42" s="2">
        <v>72000</v>
      </c>
    </row>
    <row r="43" spans="6:10">
      <c r="F43" s="2" t="s">
        <v>49</v>
      </c>
      <c r="G43" s="2">
        <v>62000</v>
      </c>
    </row>
    <row r="56" spans="6:9">
      <c r="F56" s="8" t="s">
        <v>23</v>
      </c>
      <c r="G56" s="8" t="s">
        <v>50</v>
      </c>
      <c r="H56" s="13" t="s">
        <v>51</v>
      </c>
      <c r="I56" s="12" t="s">
        <v>50</v>
      </c>
    </row>
    <row r="57" spans="6:9">
      <c r="F57" s="3" t="s">
        <v>27</v>
      </c>
      <c r="G57" s="2" t="s">
        <v>32</v>
      </c>
      <c r="H57" s="2" t="s">
        <v>52</v>
      </c>
      <c r="I57" t="str">
        <f>_xlfn.XLOOKUP(H57,$F$57:$F$60,$G$57:$G$60)</f>
        <v>IT</v>
      </c>
    </row>
    <row r="58" spans="6:9">
      <c r="F58" s="2" t="s">
        <v>53</v>
      </c>
      <c r="G58" s="2" t="s">
        <v>34</v>
      </c>
    </row>
    <row r="59" spans="6:9">
      <c r="F59" s="2" t="s">
        <v>52</v>
      </c>
      <c r="G59" s="2" t="s">
        <v>29</v>
      </c>
    </row>
    <row r="60" spans="6:9">
      <c r="F60" s="2" t="s">
        <v>49</v>
      </c>
      <c r="G60" s="2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2026-02-16T06:29:12Z</dcterms:created>
  <dcterms:modified xsi:type="dcterms:W3CDTF">2026-02-16T10:28:49Z</dcterms:modified>
  <cp:category/>
  <cp:contentStatus/>
</cp:coreProperties>
</file>